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TaxesOwed">Sheet1!$F$2:$F$71</definedName>
  </definedNames>
  <calcPr/>
</workbook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<sst xmlns="http://schemas.openxmlformats.org/spreadsheetml/2006/main" count="83" uniqueCount="82">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</sst>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5">
    <font>
      <sz val="11.0"/>
      <color/>
      <name val="Arial"/>
      <scheme val="minor"/>
    </font>
    <font>
      <b/>
      <sz val="11.0"/>
      <color/>
      <name val="Calibri"/>
    </font>
    <font>
      <color/>
      <name val="Calibri"/>
    </font>
    <font>
      <sz val="11.0"/>
      <color/>
      <name val="Calibri"/>
    </font>
    <font>
      <b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Hourly Wage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Sheet1!$B$2:$B$71</c:f>
              <c:numCache/>
            </c:numRef>
          </c:val>
        </c:ser>
        <c:ser>
          <c:idx val="1"/>
          <c:order val="1"/>
          <c:tx>
            <c:v>Hours Worked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Sheet1!$C$2:$C$71</c:f>
              <c:numCache/>
            </c:numRef>
          </c:val>
        </c:ser>
        <c:ser>
          <c:idx val="2"/>
          <c:order val="2"/>
          <c:tx>
            <c:v> Taxable Income 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Sheet1!$D$2:$D$71</c:f>
              <c:numCache/>
            </c:numRef>
          </c:val>
        </c:ser>
        <c:ser>
          <c:idx val="3"/>
          <c:order val="3"/>
          <c:tx>
            <c:v> Taxes to Be Paid 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Sheet1!$E$2:$E$71</c:f>
              <c:numCache/>
            </c:numRef>
          </c:val>
        </c:ser>
        <c:ser>
          <c:idx val="4"/>
          <c:order val="4"/>
          <c:cat>
            <c:strRef>
              <c:f>Sheet1!$A$2:$A$71</c:f>
            </c:strRef>
          </c:cat>
          <c:val>
            <c:numRef>
              <c:f>Sheet1!$F$1:$F$71</c:f>
              <c:numCache/>
            </c:numRef>
          </c:val>
        </c:ser>
        <c:overlap val="100"/>
        <c:axId val="857566746"/>
        <c:axId val="490056313"/>
      </c:barChart>
      <c:catAx>
        <c:axId val="85756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0056313"/>
      </c:catAx>
      <c:valAx>
        <c:axId val="490056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756674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</xdr:colOff>
      <xdr:row>9</xdr:row>
      <xdr:rowOff>171450</xdr:rowOff>
    </xdr:from>
    <xdr:ext cx="4219575" cy="2314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43"/>
    <col customWidth="1" min="3" max="3" width="10.86"/>
    <col customWidth="1" min="4" max="4" width="18.29"/>
    <col customWidth="1" min="5" max="5" width="19.43"/>
    <col customWidth="1" min="6" max="6" width="21.14"/>
    <col customWidth="1" min="7" max="7" width="14.71"/>
    <col customWidth="1" min="8" max="10" width="8.71"/>
    <col customWidth="1" min="11" max="11" width="21.86"/>
    <col customWidth="1" min="12" max="12" width="17.71"/>
    <col customWidth="1" min="13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0.07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>
        <v>1.0</v>
      </c>
      <c r="B2" s="6" t="s">
        <v>8</v>
      </c>
      <c r="C2" s="7">
        <v>14.25</v>
      </c>
      <c r="D2" s="5">
        <v>158.0</v>
      </c>
      <c r="E2" s="8" t="str">
        <f t="shared" ref="E2:E71" si="1">C2*D2</f>
        <v> $ 2,251.50 </v>
      </c>
      <c r="F2" s="8" t="str">
        <f t="shared" ref="F2:F71" si="2">E2*$H$1</f>
        <v> $ 157.61 </v>
      </c>
    </row>
    <row r="3" ht="14.25" customHeight="1">
      <c r="A3" s="5">
        <v>2.0</v>
      </c>
      <c r="B3" s="6" t="s">
        <v>9</v>
      </c>
      <c r="C3" s="7">
        <v>15.5</v>
      </c>
      <c r="D3" s="5">
        <v>160.0</v>
      </c>
      <c r="E3" s="8" t="str">
        <f t="shared" si="1"/>
        <v> $ 2,480.00 </v>
      </c>
      <c r="F3" s="8" t="str">
        <f t="shared" si="2"/>
        <v> $ 173.60 </v>
      </c>
    </row>
    <row r="4" ht="14.25" customHeight="1">
      <c r="A4" s="5">
        <v>3.0</v>
      </c>
      <c r="B4" s="6" t="s">
        <v>10</v>
      </c>
      <c r="C4" s="7">
        <v>16.0</v>
      </c>
      <c r="D4" s="5">
        <v>125.0</v>
      </c>
      <c r="E4" s="8" t="str">
        <f t="shared" si="1"/>
        <v> $ 2,000.00 </v>
      </c>
      <c r="F4" s="8" t="str">
        <f t="shared" si="2"/>
        <v> $ 140.00 </v>
      </c>
    </row>
    <row r="5" ht="14.25" customHeight="1">
      <c r="A5" s="5">
        <v>4.0</v>
      </c>
      <c r="B5" s="6" t="s">
        <v>11</v>
      </c>
      <c r="C5" s="7">
        <v>13.75</v>
      </c>
      <c r="D5" s="5">
        <v>165.0</v>
      </c>
      <c r="E5" s="8" t="str">
        <f t="shared" si="1"/>
        <v> $ 2,268.75 </v>
      </c>
      <c r="F5" s="8" t="str">
        <f t="shared" si="2"/>
        <v> $ 158.81 </v>
      </c>
      <c r="K5" s="9"/>
      <c r="L5" s="9"/>
    </row>
    <row r="6" ht="14.25" customHeight="1">
      <c r="A6" s="5">
        <v>5.0</v>
      </c>
      <c r="B6" s="6" t="s">
        <v>12</v>
      </c>
      <c r="C6" s="7">
        <v>15.5</v>
      </c>
      <c r="D6" s="5">
        <v>144.0</v>
      </c>
      <c r="E6" s="8" t="str">
        <f t="shared" si="1"/>
        <v> $ 2,232.00 </v>
      </c>
      <c r="F6" s="8" t="str">
        <f t="shared" si="2"/>
        <v> $ 156.24 </v>
      </c>
    </row>
    <row r="7" ht="14.25" customHeight="1">
      <c r="A7" s="5">
        <v>6.0</v>
      </c>
      <c r="B7" s="6" t="s">
        <v>13</v>
      </c>
      <c r="C7" s="7">
        <v>17.0</v>
      </c>
      <c r="D7" s="5">
        <v>174.0</v>
      </c>
      <c r="E7" s="8" t="str">
        <f t="shared" si="1"/>
        <v> $ 2,958.00 </v>
      </c>
      <c r="F7" s="8" t="str">
        <f t="shared" si="2"/>
        <v> $ 207.06 </v>
      </c>
      <c r="K7" s="10"/>
    </row>
    <row r="8" ht="14.25" customHeight="1">
      <c r="A8" s="5">
        <v>7.0</v>
      </c>
      <c r="B8" s="6" t="s">
        <v>14</v>
      </c>
      <c r="C8" s="7">
        <v>13.75</v>
      </c>
      <c r="D8" s="5">
        <v>161.0</v>
      </c>
      <c r="E8" s="8" t="str">
        <f t="shared" si="1"/>
        <v> $ 2,213.75 </v>
      </c>
      <c r="F8" s="8" t="str">
        <f t="shared" si="2"/>
        <v> $ 154.96 </v>
      </c>
      <c r="K8" s="10"/>
    </row>
    <row r="9" ht="14.25" customHeight="1">
      <c r="A9" s="5">
        <v>8.0</v>
      </c>
      <c r="B9" s="6" t="s">
        <v>15</v>
      </c>
      <c r="C9" s="7">
        <v>15.5</v>
      </c>
      <c r="D9" s="5">
        <v>69.0</v>
      </c>
      <c r="E9" s="8" t="str">
        <f t="shared" si="1"/>
        <v> $ 1,069.50 </v>
      </c>
      <c r="F9" s="8" t="str">
        <f t="shared" si="2"/>
        <v> $ 74.87 </v>
      </c>
      <c r="K9" s="10"/>
    </row>
    <row r="10" ht="14.25" customHeight="1">
      <c r="A10" s="5">
        <v>9.0</v>
      </c>
      <c r="B10" s="6" t="s">
        <v>16</v>
      </c>
      <c r="C10" s="7">
        <v>10.75</v>
      </c>
      <c r="D10" s="5">
        <v>85.0</v>
      </c>
      <c r="E10" s="8" t="str">
        <f t="shared" si="1"/>
        <v> $ 913.75 </v>
      </c>
      <c r="F10" s="8" t="str">
        <f t="shared" si="2"/>
        <v> $ 63.96 </v>
      </c>
      <c r="K10" s="10"/>
    </row>
    <row r="11" ht="14.25" customHeight="1">
      <c r="A11" s="5">
        <v>10.0</v>
      </c>
      <c r="B11" s="6" t="s">
        <v>17</v>
      </c>
      <c r="C11" s="7">
        <v>15.5</v>
      </c>
      <c r="D11" s="5">
        <v>117.0</v>
      </c>
      <c r="E11" s="8" t="str">
        <f t="shared" si="1"/>
        <v> $ 1,813.50 </v>
      </c>
      <c r="F11" s="8" t="str">
        <f t="shared" si="2"/>
        <v> $ 126.95 </v>
      </c>
    </row>
    <row r="12" ht="14.25" customHeight="1">
      <c r="A12" s="5">
        <v>11.0</v>
      </c>
      <c r="B12" s="6" t="s">
        <v>18</v>
      </c>
      <c r="C12" s="7">
        <v>12.0</v>
      </c>
      <c r="D12" s="5">
        <v>160.0</v>
      </c>
      <c r="E12" s="8" t="str">
        <f t="shared" si="1"/>
        <v> $ 1,920.00 </v>
      </c>
      <c r="F12" s="8" t="str">
        <f t="shared" si="2"/>
        <v> $ 134.40 </v>
      </c>
    </row>
    <row r="13" ht="14.25" customHeight="1">
      <c r="A13" s="5">
        <v>12.0</v>
      </c>
      <c r="B13" s="6" t="s">
        <v>19</v>
      </c>
      <c r="C13" s="7">
        <v>15.5</v>
      </c>
      <c r="D13" s="5">
        <v>152.0</v>
      </c>
      <c r="E13" s="8" t="str">
        <f t="shared" si="1"/>
        <v> $ 2,356.00 </v>
      </c>
      <c r="F13" s="8" t="str">
        <f t="shared" si="2"/>
        <v> $ 164.92 </v>
      </c>
    </row>
    <row r="14" ht="14.25" customHeight="1">
      <c r="A14" s="5">
        <v>13.0</v>
      </c>
      <c r="B14" s="6" t="s">
        <v>20</v>
      </c>
      <c r="C14" s="7">
        <v>11.75</v>
      </c>
      <c r="D14" s="5">
        <v>129.0</v>
      </c>
      <c r="E14" s="8" t="str">
        <f t="shared" si="1"/>
        <v> $ 1,515.75 </v>
      </c>
      <c r="F14" s="8" t="str">
        <f t="shared" si="2"/>
        <v> $ 106.10 </v>
      </c>
    </row>
    <row r="15" ht="14.25" customHeight="1">
      <c r="A15" s="5">
        <v>14.0</v>
      </c>
      <c r="B15" s="6" t="s">
        <v>21</v>
      </c>
      <c r="C15" s="7">
        <v>12.0</v>
      </c>
      <c r="D15" s="5">
        <v>74.0</v>
      </c>
      <c r="E15" s="8" t="str">
        <f t="shared" si="1"/>
        <v> $ 888.00 </v>
      </c>
      <c r="F15" s="8" t="str">
        <f t="shared" si="2"/>
        <v> $ 62.16 </v>
      </c>
    </row>
    <row r="16" ht="14.25" customHeight="1">
      <c r="A16" s="5">
        <v>15.0</v>
      </c>
      <c r="B16" s="6" t="s">
        <v>22</v>
      </c>
      <c r="C16" s="7">
        <v>19.0</v>
      </c>
      <c r="D16" s="5">
        <v>111.0</v>
      </c>
      <c r="E16" s="8" t="str">
        <f t="shared" si="1"/>
        <v> $ 2,109.00 </v>
      </c>
      <c r="F16" s="8" t="str">
        <f t="shared" si="2"/>
        <v> $ 147.63 </v>
      </c>
    </row>
    <row r="17" ht="14.25" customHeight="1">
      <c r="A17" s="5">
        <v>16.0</v>
      </c>
      <c r="B17" s="6" t="s">
        <v>23</v>
      </c>
      <c r="C17" s="7">
        <v>17.0</v>
      </c>
      <c r="D17" s="5">
        <v>132.0</v>
      </c>
      <c r="E17" s="8" t="str">
        <f t="shared" si="1"/>
        <v> $ 2,244.00 </v>
      </c>
      <c r="F17" s="8" t="str">
        <f t="shared" si="2"/>
        <v> $ 157.08 </v>
      </c>
    </row>
    <row r="18" ht="14.25" customHeight="1">
      <c r="A18" s="5">
        <v>17.0</v>
      </c>
      <c r="B18" s="6" t="s">
        <v>24</v>
      </c>
      <c r="C18" s="7">
        <v>19.0</v>
      </c>
      <c r="D18" s="5">
        <v>168.0</v>
      </c>
      <c r="E18" s="8" t="str">
        <f t="shared" si="1"/>
        <v> $ 3,192.00 </v>
      </c>
      <c r="F18" s="8" t="str">
        <f t="shared" si="2"/>
        <v> $ 223.44 </v>
      </c>
    </row>
    <row r="19" ht="14.25" customHeight="1">
      <c r="A19" s="5">
        <v>18.0</v>
      </c>
      <c r="B19" s="6" t="s">
        <v>25</v>
      </c>
      <c r="C19" s="7">
        <v>16.0</v>
      </c>
      <c r="D19" s="5">
        <v>187.0</v>
      </c>
      <c r="E19" s="8" t="str">
        <f t="shared" si="1"/>
        <v> $ 2,992.00 </v>
      </c>
      <c r="F19" s="8" t="str">
        <f t="shared" si="2"/>
        <v> $ 209.44 </v>
      </c>
    </row>
    <row r="20" ht="14.25" customHeight="1">
      <c r="A20" s="5">
        <v>19.0</v>
      </c>
      <c r="B20" s="6" t="s">
        <v>26</v>
      </c>
      <c r="C20" s="7">
        <v>18.0</v>
      </c>
      <c r="D20" s="5">
        <v>70.0</v>
      </c>
      <c r="E20" s="8" t="str">
        <f t="shared" si="1"/>
        <v> $ 1,260.00 </v>
      </c>
      <c r="F20" s="8" t="str">
        <f t="shared" si="2"/>
        <v> $ 88.20 </v>
      </c>
    </row>
    <row r="21" ht="14.25" customHeight="1">
      <c r="A21" s="5">
        <v>20.0</v>
      </c>
      <c r="B21" s="6" t="s">
        <v>27</v>
      </c>
      <c r="C21" s="7">
        <v>16.5</v>
      </c>
      <c r="D21" s="5">
        <v>138.0</v>
      </c>
      <c r="E21" s="8" t="str">
        <f t="shared" si="1"/>
        <v> $ 2,277.00 </v>
      </c>
      <c r="F21" s="8" t="str">
        <f t="shared" si="2"/>
        <v> $ 159.39 </v>
      </c>
    </row>
    <row r="22" ht="14.25" customHeight="1">
      <c r="A22" s="5">
        <v>21.0</v>
      </c>
      <c r="B22" s="6" t="s">
        <v>28</v>
      </c>
      <c r="C22" s="7">
        <v>13.0</v>
      </c>
      <c r="D22" s="5">
        <v>72.0</v>
      </c>
      <c r="E22" s="8" t="str">
        <f t="shared" si="1"/>
        <v> $ 936.00 </v>
      </c>
      <c r="F22" s="8" t="str">
        <f t="shared" si="2"/>
        <v> $ 65.52 </v>
      </c>
    </row>
    <row r="23" ht="14.25" customHeight="1">
      <c r="A23" s="5">
        <v>22.0</v>
      </c>
      <c r="B23" s="6" t="s">
        <v>29</v>
      </c>
      <c r="C23" s="7">
        <v>12.0</v>
      </c>
      <c r="D23" s="5">
        <v>130.0</v>
      </c>
      <c r="E23" s="8" t="str">
        <f t="shared" si="1"/>
        <v> $ 1,560.00 </v>
      </c>
      <c r="F23" s="8" t="str">
        <f t="shared" si="2"/>
        <v> $ 109.20 </v>
      </c>
    </row>
    <row r="24" ht="14.25" customHeight="1">
      <c r="A24" s="5">
        <v>23.0</v>
      </c>
      <c r="B24" s="6" t="s">
        <v>30</v>
      </c>
      <c r="C24" s="7">
        <v>18.0</v>
      </c>
      <c r="D24" s="5">
        <v>208.0</v>
      </c>
      <c r="E24" s="8" t="str">
        <f t="shared" si="1"/>
        <v> $ 3,744.00 </v>
      </c>
      <c r="F24" s="8" t="str">
        <f t="shared" si="2"/>
        <v> $ 262.08 </v>
      </c>
    </row>
    <row r="25" ht="14.25" customHeight="1">
      <c r="A25" s="5">
        <v>24.0</v>
      </c>
      <c r="B25" s="6" t="s">
        <v>31</v>
      </c>
      <c r="C25" s="7">
        <v>22.0</v>
      </c>
      <c r="D25" s="5">
        <v>97.0</v>
      </c>
      <c r="E25" s="8" t="str">
        <f t="shared" si="1"/>
        <v> $ 2,134.00 </v>
      </c>
      <c r="F25" s="8" t="str">
        <f t="shared" si="2"/>
        <v> $ 149.38 </v>
      </c>
    </row>
    <row r="26" ht="14.25" customHeight="1">
      <c r="A26" s="5">
        <v>25.0</v>
      </c>
      <c r="B26" s="6" t="s">
        <v>32</v>
      </c>
      <c r="C26" s="7">
        <v>32.0</v>
      </c>
      <c r="D26" s="5">
        <v>199.0</v>
      </c>
      <c r="E26" s="8" t="str">
        <f t="shared" si="1"/>
        <v> $ 6,368.00 </v>
      </c>
      <c r="F26" s="8" t="str">
        <f t="shared" si="2"/>
        <v> $ 445.76 </v>
      </c>
    </row>
    <row r="27" ht="14.25" customHeight="1">
      <c r="A27" s="5">
        <v>26.0</v>
      </c>
      <c r="B27" s="6" t="s">
        <v>29</v>
      </c>
      <c r="C27" s="7">
        <v>11.0</v>
      </c>
      <c r="D27" s="5">
        <v>160.0</v>
      </c>
      <c r="E27" s="8" t="str">
        <f t="shared" si="1"/>
        <v> $ 1,760.00 </v>
      </c>
      <c r="F27" s="8" t="str">
        <f t="shared" si="2"/>
        <v> $ 123.20 </v>
      </c>
    </row>
    <row r="28" ht="14.25" customHeight="1">
      <c r="A28" s="5">
        <v>27.0</v>
      </c>
      <c r="B28" s="6" t="s">
        <v>33</v>
      </c>
      <c r="C28" s="7">
        <v>14.0</v>
      </c>
      <c r="D28" s="5">
        <v>156.0</v>
      </c>
      <c r="E28" s="8" t="str">
        <f t="shared" si="1"/>
        <v> $ 2,184.00 </v>
      </c>
      <c r="F28" s="8" t="str">
        <f t="shared" si="2"/>
        <v> $ 152.88 </v>
      </c>
    </row>
    <row r="29" ht="14.25" customHeight="1">
      <c r="A29" s="5">
        <v>28.0</v>
      </c>
      <c r="B29" s="6" t="s">
        <v>34</v>
      </c>
      <c r="C29" s="7">
        <v>15.5</v>
      </c>
      <c r="D29" s="5">
        <v>117.0</v>
      </c>
      <c r="E29" s="8" t="str">
        <f t="shared" si="1"/>
        <v> $ 1,813.50 </v>
      </c>
      <c r="F29" s="8" t="str">
        <f t="shared" si="2"/>
        <v> $ 126.95 </v>
      </c>
    </row>
    <row r="30" ht="14.25" customHeight="1">
      <c r="A30" s="5">
        <v>29.0</v>
      </c>
      <c r="B30" s="6" t="s">
        <v>35</v>
      </c>
      <c r="C30" s="7">
        <v>15.0</v>
      </c>
      <c r="D30" s="5">
        <v>76.0</v>
      </c>
      <c r="E30" s="8" t="str">
        <f t="shared" si="1"/>
        <v> $ 1,140.00 </v>
      </c>
      <c r="F30" s="8" t="str">
        <f t="shared" si="2"/>
        <v> $ 79.80 </v>
      </c>
    </row>
    <row r="31" ht="14.25" customHeight="1">
      <c r="A31" s="5">
        <v>30.0</v>
      </c>
      <c r="B31" s="6" t="s">
        <v>36</v>
      </c>
      <c r="C31" s="7">
        <v>12.0</v>
      </c>
      <c r="D31" s="5">
        <v>175.0</v>
      </c>
      <c r="E31" s="8" t="str">
        <f t="shared" si="1"/>
        <v> $ 2,100.00 </v>
      </c>
      <c r="F31" s="8" t="str">
        <f t="shared" si="2"/>
        <v> $ 147.00 </v>
      </c>
    </row>
    <row r="32" ht="14.25" customHeight="1">
      <c r="A32" s="5">
        <v>31.0</v>
      </c>
      <c r="B32" s="6" t="s">
        <v>37</v>
      </c>
      <c r="C32" s="7">
        <v>15.5</v>
      </c>
      <c r="D32" s="5">
        <v>87.0</v>
      </c>
      <c r="E32" s="8" t="str">
        <f t="shared" si="1"/>
        <v> $ 1,348.50 </v>
      </c>
      <c r="F32" s="8" t="str">
        <f t="shared" si="2"/>
        <v> $ 94.40 </v>
      </c>
    </row>
    <row r="33" ht="14.25" customHeight="1">
      <c r="A33" s="5">
        <v>32.0</v>
      </c>
      <c r="B33" s="6" t="s">
        <v>38</v>
      </c>
      <c r="C33" s="7">
        <v>11.75</v>
      </c>
      <c r="D33" s="5">
        <v>130.0</v>
      </c>
      <c r="E33" s="8" t="str">
        <f t="shared" si="1"/>
        <v> $ 1,527.50 </v>
      </c>
      <c r="F33" s="8" t="str">
        <f t="shared" si="2"/>
        <v> $ 106.93 </v>
      </c>
    </row>
    <row r="34" ht="14.25" customHeight="1">
      <c r="A34" s="5">
        <v>33.0</v>
      </c>
      <c r="B34" s="6" t="s">
        <v>39</v>
      </c>
      <c r="C34" s="7">
        <v>12.0</v>
      </c>
      <c r="D34" s="5">
        <v>185.0</v>
      </c>
      <c r="E34" s="8" t="str">
        <f t="shared" si="1"/>
        <v> $ 2,220.00 </v>
      </c>
      <c r="F34" s="8" t="str">
        <f t="shared" si="2"/>
        <v> $ 155.40 </v>
      </c>
    </row>
    <row r="35" ht="14.25" customHeight="1">
      <c r="A35" s="5">
        <v>34.0</v>
      </c>
      <c r="B35" s="6" t="s">
        <v>40</v>
      </c>
      <c r="C35" s="7">
        <v>19.0</v>
      </c>
      <c r="D35" s="5">
        <v>152.0</v>
      </c>
      <c r="E35" s="8" t="str">
        <f t="shared" si="1"/>
        <v> $ 2,888.00 </v>
      </c>
      <c r="F35" s="8" t="str">
        <f t="shared" si="2"/>
        <v> $ 202.16 </v>
      </c>
    </row>
    <row r="36" ht="14.25" customHeight="1">
      <c r="A36" s="5">
        <v>35.0</v>
      </c>
      <c r="B36" s="6" t="s">
        <v>41</v>
      </c>
      <c r="C36" s="7">
        <v>17.0</v>
      </c>
      <c r="D36" s="5">
        <v>186.0</v>
      </c>
      <c r="E36" s="8" t="str">
        <f t="shared" si="1"/>
        <v> $ 3,162.00 </v>
      </c>
      <c r="F36" s="8" t="str">
        <f t="shared" si="2"/>
        <v> $ 221.34 </v>
      </c>
    </row>
    <row r="37" ht="14.25" customHeight="1">
      <c r="A37" s="5">
        <v>36.0</v>
      </c>
      <c r="B37" s="6" t="s">
        <v>42</v>
      </c>
      <c r="C37" s="7">
        <v>19.0</v>
      </c>
      <c r="D37" s="5">
        <v>96.0</v>
      </c>
      <c r="E37" s="8" t="str">
        <f t="shared" si="1"/>
        <v> $ 1,824.00 </v>
      </c>
      <c r="F37" s="8" t="str">
        <f t="shared" si="2"/>
        <v> $ 127.68 </v>
      </c>
    </row>
    <row r="38" ht="14.25" customHeight="1">
      <c r="A38" s="5">
        <v>37.0</v>
      </c>
      <c r="B38" s="6" t="s">
        <v>43</v>
      </c>
      <c r="C38" s="7">
        <v>16.0</v>
      </c>
      <c r="D38" s="5">
        <v>100.0</v>
      </c>
      <c r="E38" s="8" t="str">
        <f t="shared" si="1"/>
        <v> $ 1,600.00 </v>
      </c>
      <c r="F38" s="8" t="str">
        <f t="shared" si="2"/>
        <v> $ 112.00 </v>
      </c>
    </row>
    <row r="39" ht="14.25" customHeight="1">
      <c r="A39" s="5">
        <v>38.0</v>
      </c>
      <c r="B39" s="6" t="s">
        <v>44</v>
      </c>
      <c r="C39" s="7">
        <v>18.0</v>
      </c>
      <c r="D39" s="5">
        <v>124.0</v>
      </c>
      <c r="E39" s="8" t="str">
        <f t="shared" si="1"/>
        <v> $ 2,232.00 </v>
      </c>
      <c r="F39" s="8" t="str">
        <f t="shared" si="2"/>
        <v> $ 156.24 </v>
      </c>
    </row>
    <row r="40" ht="14.25" customHeight="1">
      <c r="A40" s="5">
        <v>39.0</v>
      </c>
      <c r="B40" s="6" t="s">
        <v>45</v>
      </c>
      <c r="C40" s="7">
        <v>15.5</v>
      </c>
      <c r="D40" s="5">
        <v>71.0</v>
      </c>
      <c r="E40" s="8" t="str">
        <f t="shared" si="1"/>
        <v> $ 1,100.50 </v>
      </c>
      <c r="F40" s="8" t="str">
        <f t="shared" si="2"/>
        <v> $ 77.04 </v>
      </c>
    </row>
    <row r="41" ht="14.25" customHeight="1">
      <c r="A41" s="5">
        <v>40.0</v>
      </c>
      <c r="B41" s="6" t="s">
        <v>46</v>
      </c>
      <c r="C41" s="7">
        <v>14.0</v>
      </c>
      <c r="D41" s="5">
        <v>83.0</v>
      </c>
      <c r="E41" s="8" t="str">
        <f t="shared" si="1"/>
        <v> $ 1,162.00 </v>
      </c>
      <c r="F41" s="8" t="str">
        <f t="shared" si="2"/>
        <v> $ 81.34 </v>
      </c>
    </row>
    <row r="42" ht="14.25" customHeight="1">
      <c r="A42" s="5">
        <v>41.0</v>
      </c>
      <c r="B42" s="6" t="s">
        <v>47</v>
      </c>
      <c r="C42" s="7">
        <v>12.0</v>
      </c>
      <c r="D42" s="5">
        <v>168.0</v>
      </c>
      <c r="E42" s="8" t="str">
        <f t="shared" si="1"/>
        <v> $ 2,016.00 </v>
      </c>
      <c r="F42" s="8" t="str">
        <f t="shared" si="2"/>
        <v> $ 141.12 </v>
      </c>
    </row>
    <row r="43" ht="14.25" customHeight="1">
      <c r="A43" s="5">
        <v>42.0</v>
      </c>
      <c r="B43" s="6" t="s">
        <v>48</v>
      </c>
      <c r="C43" s="7">
        <v>11.0</v>
      </c>
      <c r="D43" s="5">
        <v>165.0</v>
      </c>
      <c r="E43" s="8" t="str">
        <f t="shared" si="1"/>
        <v> $ 1,815.00 </v>
      </c>
      <c r="F43" s="8" t="str">
        <f t="shared" si="2"/>
        <v> $ 127.05 </v>
      </c>
    </row>
    <row r="44" ht="14.25" customHeight="1">
      <c r="A44" s="5">
        <v>43.0</v>
      </c>
      <c r="B44" s="6" t="s">
        <v>49</v>
      </c>
      <c r="C44" s="7">
        <v>12.0</v>
      </c>
      <c r="D44" s="5">
        <v>145.0</v>
      </c>
      <c r="E44" s="8" t="str">
        <f t="shared" si="1"/>
        <v> $ 1,740.00 </v>
      </c>
      <c r="F44" s="8" t="str">
        <f t="shared" si="2"/>
        <v> $ 121.80 </v>
      </c>
    </row>
    <row r="45" ht="14.25" customHeight="1">
      <c r="A45" s="5">
        <v>44.0</v>
      </c>
      <c r="B45" s="6" t="s">
        <v>50</v>
      </c>
      <c r="C45" s="7">
        <v>15.5</v>
      </c>
      <c r="D45" s="5">
        <v>133.0</v>
      </c>
      <c r="E45" s="8" t="str">
        <f t="shared" si="1"/>
        <v> $ 2,061.50 </v>
      </c>
      <c r="F45" s="8" t="str">
        <f t="shared" si="2"/>
        <v> $ 144.31 </v>
      </c>
    </row>
    <row r="46" ht="14.25" customHeight="1">
      <c r="A46" s="5">
        <v>45.0</v>
      </c>
      <c r="B46" s="6" t="s">
        <v>51</v>
      </c>
      <c r="C46" s="7">
        <v>11.75</v>
      </c>
      <c r="D46" s="5">
        <v>92.0</v>
      </c>
      <c r="E46" s="8" t="str">
        <f t="shared" si="1"/>
        <v> $ 1,081.00 </v>
      </c>
      <c r="F46" s="8" t="str">
        <f t="shared" si="2"/>
        <v> $ 75.67 </v>
      </c>
    </row>
    <row r="47" ht="14.25" customHeight="1">
      <c r="A47" s="5">
        <v>46.0</v>
      </c>
      <c r="B47" s="6" t="s">
        <v>52</v>
      </c>
      <c r="C47" s="7">
        <v>12.0</v>
      </c>
      <c r="D47" s="5">
        <v>74.0</v>
      </c>
      <c r="E47" s="8" t="str">
        <f t="shared" si="1"/>
        <v> $ 888.00 </v>
      </c>
      <c r="F47" s="8" t="str">
        <f t="shared" si="2"/>
        <v> $ 62.16 </v>
      </c>
    </row>
    <row r="48" ht="14.25" customHeight="1">
      <c r="A48" s="5">
        <v>47.0</v>
      </c>
      <c r="B48" s="6" t="s">
        <v>53</v>
      </c>
      <c r="C48" s="7">
        <v>19.0</v>
      </c>
      <c r="D48" s="5">
        <v>201.0</v>
      </c>
      <c r="E48" s="8" t="str">
        <f t="shared" si="1"/>
        <v> $ 3,819.00 </v>
      </c>
      <c r="F48" s="8" t="str">
        <f t="shared" si="2"/>
        <v> $ 267.33 </v>
      </c>
    </row>
    <row r="49" ht="14.25" customHeight="1">
      <c r="A49" s="5">
        <v>48.0</v>
      </c>
      <c r="B49" s="6" t="s">
        <v>54</v>
      </c>
      <c r="C49" s="7">
        <v>17.0</v>
      </c>
      <c r="D49" s="5">
        <v>112.0</v>
      </c>
      <c r="E49" s="8" t="str">
        <f t="shared" si="1"/>
        <v> $ 1,904.00 </v>
      </c>
      <c r="F49" s="8" t="str">
        <f t="shared" si="2"/>
        <v> $ 133.28 </v>
      </c>
    </row>
    <row r="50" ht="14.25" customHeight="1">
      <c r="A50" s="5">
        <v>49.0</v>
      </c>
      <c r="B50" s="6" t="s">
        <v>55</v>
      </c>
      <c r="C50" s="7">
        <v>19.0</v>
      </c>
      <c r="D50" s="5">
        <v>166.0</v>
      </c>
      <c r="E50" s="8" t="str">
        <f t="shared" si="1"/>
        <v> $ 3,154.00 </v>
      </c>
      <c r="F50" s="8" t="str">
        <f t="shared" si="2"/>
        <v> $ 220.78 </v>
      </c>
    </row>
    <row r="51" ht="14.25" customHeight="1">
      <c r="A51" s="5">
        <v>50.0</v>
      </c>
      <c r="B51" s="6" t="s">
        <v>56</v>
      </c>
      <c r="C51" s="7">
        <v>16.0</v>
      </c>
      <c r="D51" s="5">
        <v>160.0</v>
      </c>
      <c r="E51" s="8" t="str">
        <f t="shared" si="1"/>
        <v> $ 2,560.00 </v>
      </c>
      <c r="F51" s="8" t="str">
        <f t="shared" si="2"/>
        <v> $ 179.20 </v>
      </c>
    </row>
    <row r="52" ht="14.25" customHeight="1">
      <c r="A52" s="5">
        <v>51.0</v>
      </c>
      <c r="B52" s="6" t="s">
        <v>57</v>
      </c>
      <c r="C52" s="7">
        <v>18.0</v>
      </c>
      <c r="D52" s="5">
        <v>117.0</v>
      </c>
      <c r="E52" s="8" t="str">
        <f t="shared" si="1"/>
        <v> $ 2,106.00 </v>
      </c>
      <c r="F52" s="8" t="str">
        <f t="shared" si="2"/>
        <v> $ 147.42 </v>
      </c>
    </row>
    <row r="53" ht="14.25" customHeight="1">
      <c r="A53" s="5">
        <v>52.0</v>
      </c>
      <c r="B53" s="6" t="s">
        <v>58</v>
      </c>
      <c r="C53" s="7">
        <v>11.5</v>
      </c>
      <c r="D53" s="5">
        <v>152.0</v>
      </c>
      <c r="E53" s="8" t="str">
        <f t="shared" si="1"/>
        <v> $ 1,748.00 </v>
      </c>
      <c r="F53" s="8" t="str">
        <f t="shared" si="2"/>
        <v> $ 122.36 </v>
      </c>
    </row>
    <row r="54" ht="14.25" customHeight="1">
      <c r="A54" s="5">
        <v>53.0</v>
      </c>
      <c r="B54" s="6" t="s">
        <v>59</v>
      </c>
      <c r="C54" s="7">
        <v>15.5</v>
      </c>
      <c r="D54" s="5">
        <v>129.0</v>
      </c>
      <c r="E54" s="8" t="str">
        <f t="shared" si="1"/>
        <v> $ 1,999.50 </v>
      </c>
      <c r="F54" s="8" t="str">
        <f t="shared" si="2"/>
        <v> $ 139.97 </v>
      </c>
    </row>
    <row r="55" ht="14.25" customHeight="1">
      <c r="A55" s="5">
        <v>54.0</v>
      </c>
      <c r="B55" s="6" t="s">
        <v>60</v>
      </c>
      <c r="C55" s="7">
        <v>15.5</v>
      </c>
      <c r="D55" s="5">
        <v>74.0</v>
      </c>
      <c r="E55" s="8" t="str">
        <f t="shared" si="1"/>
        <v> $ 1,147.00 </v>
      </c>
      <c r="F55" s="8" t="str">
        <f t="shared" si="2"/>
        <v> $ 80.29 </v>
      </c>
    </row>
    <row r="56" ht="14.25" customHeight="1">
      <c r="A56" s="5">
        <v>55.0</v>
      </c>
      <c r="B56" s="6" t="s">
        <v>61</v>
      </c>
      <c r="C56" s="7">
        <v>12.0</v>
      </c>
      <c r="D56" s="5">
        <v>111.0</v>
      </c>
      <c r="E56" s="8" t="str">
        <f t="shared" si="1"/>
        <v> $ 1,332.00 </v>
      </c>
      <c r="F56" s="8" t="str">
        <f t="shared" si="2"/>
        <v> $ 93.24 </v>
      </c>
    </row>
    <row r="57" ht="14.25" customHeight="1">
      <c r="A57" s="5">
        <v>56.0</v>
      </c>
      <c r="B57" s="6" t="s">
        <v>62</v>
      </c>
      <c r="C57" s="7">
        <v>15.5</v>
      </c>
      <c r="D57" s="5">
        <v>132.0</v>
      </c>
      <c r="E57" s="8" t="str">
        <f t="shared" si="1"/>
        <v> $ 2,046.00 </v>
      </c>
      <c r="F57" s="8" t="str">
        <f t="shared" si="2"/>
        <v> $ 143.22 </v>
      </c>
    </row>
    <row r="58" ht="14.25" customHeight="1">
      <c r="A58" s="5">
        <v>57.0</v>
      </c>
      <c r="B58" s="6" t="s">
        <v>63</v>
      </c>
      <c r="C58" s="7">
        <v>11.75</v>
      </c>
      <c r="D58" s="5">
        <v>168.0</v>
      </c>
      <c r="E58" s="8" t="str">
        <f t="shared" si="1"/>
        <v> $ 1,974.00 </v>
      </c>
      <c r="F58" s="8" t="str">
        <f t="shared" si="2"/>
        <v> $ 138.18 </v>
      </c>
    </row>
    <row r="59" ht="14.25" customHeight="1">
      <c r="A59" s="5">
        <v>58.0</v>
      </c>
      <c r="B59" s="6" t="s">
        <v>64</v>
      </c>
      <c r="C59" s="7">
        <v>12.0</v>
      </c>
      <c r="D59" s="5">
        <v>187.0</v>
      </c>
      <c r="E59" s="8" t="str">
        <f t="shared" si="1"/>
        <v> $ 2,244.00 </v>
      </c>
      <c r="F59" s="8" t="str">
        <f t="shared" si="2"/>
        <v> $ 157.08 </v>
      </c>
    </row>
    <row r="60" ht="14.25" customHeight="1">
      <c r="A60" s="5">
        <v>59.0</v>
      </c>
      <c r="B60" s="6" t="s">
        <v>65</v>
      </c>
      <c r="C60" s="7">
        <v>19.0</v>
      </c>
      <c r="D60" s="5">
        <v>70.0</v>
      </c>
      <c r="E60" s="8" t="str">
        <f t="shared" si="1"/>
        <v> $ 1,330.00 </v>
      </c>
      <c r="F60" s="8" t="str">
        <f t="shared" si="2"/>
        <v> $ 93.10 </v>
      </c>
    </row>
    <row r="61" ht="14.25" customHeight="1">
      <c r="A61" s="5">
        <v>60.0</v>
      </c>
      <c r="B61" s="6" t="s">
        <v>66</v>
      </c>
      <c r="C61" s="7">
        <v>17.0</v>
      </c>
      <c r="D61" s="5">
        <v>138.0</v>
      </c>
      <c r="E61" s="8" t="str">
        <f t="shared" si="1"/>
        <v> $ 2,346.00 </v>
      </c>
      <c r="F61" s="8" t="str">
        <f t="shared" si="2"/>
        <v> $ 164.22 </v>
      </c>
    </row>
    <row r="62" ht="14.25" customHeight="1">
      <c r="A62" s="5">
        <v>61.0</v>
      </c>
      <c r="B62" s="6" t="s">
        <v>67</v>
      </c>
      <c r="C62" s="7">
        <v>19.0</v>
      </c>
      <c r="D62" s="5">
        <v>72.0</v>
      </c>
      <c r="E62" s="8" t="str">
        <f t="shared" si="1"/>
        <v> $ 1,368.00 </v>
      </c>
      <c r="F62" s="8" t="str">
        <f t="shared" si="2"/>
        <v> $ 95.76 </v>
      </c>
    </row>
    <row r="63" ht="14.25" customHeight="1">
      <c r="A63" s="5">
        <v>62.0</v>
      </c>
      <c r="B63" s="6" t="s">
        <v>68</v>
      </c>
      <c r="C63" s="7">
        <v>16.0</v>
      </c>
      <c r="D63" s="5">
        <v>130.0</v>
      </c>
      <c r="E63" s="8" t="str">
        <f t="shared" si="1"/>
        <v> $ 2,080.00 </v>
      </c>
      <c r="F63" s="8" t="str">
        <f t="shared" si="2"/>
        <v> $ 145.60 </v>
      </c>
    </row>
    <row r="64" ht="14.25" customHeight="1">
      <c r="A64" s="5">
        <v>63.0</v>
      </c>
      <c r="B64" s="6" t="s">
        <v>69</v>
      </c>
      <c r="C64" s="7">
        <v>18.0</v>
      </c>
      <c r="D64" s="5">
        <v>208.0</v>
      </c>
      <c r="E64" s="8" t="str">
        <f t="shared" si="1"/>
        <v> $ 3,744.00 </v>
      </c>
      <c r="F64" s="8" t="str">
        <f t="shared" si="2"/>
        <v> $ 262.08 </v>
      </c>
    </row>
    <row r="65" ht="14.25" customHeight="1">
      <c r="A65" s="5">
        <v>64.0</v>
      </c>
      <c r="B65" s="6" t="s">
        <v>70</v>
      </c>
      <c r="C65" s="7">
        <v>11.0</v>
      </c>
      <c r="D65" s="5">
        <v>97.0</v>
      </c>
      <c r="E65" s="8" t="str">
        <f t="shared" si="1"/>
        <v> $ 1,067.00 </v>
      </c>
      <c r="F65" s="8" t="str">
        <f t="shared" si="2"/>
        <v> $ 74.69 </v>
      </c>
    </row>
    <row r="66" ht="14.25" customHeight="1">
      <c r="A66" s="5">
        <v>65.0</v>
      </c>
      <c r="B66" s="6" t="s">
        <v>71</v>
      </c>
      <c r="C66" s="7">
        <v>15.5</v>
      </c>
      <c r="D66" s="5">
        <v>199.0</v>
      </c>
      <c r="E66" s="8" t="str">
        <f t="shared" si="1"/>
        <v> $ 3,084.50 </v>
      </c>
      <c r="F66" s="8" t="str">
        <f t="shared" si="2"/>
        <v> $ 215.92 </v>
      </c>
    </row>
    <row r="67" ht="14.25" customHeight="1">
      <c r="A67" s="5">
        <v>66.0</v>
      </c>
      <c r="B67" s="6" t="s">
        <v>72</v>
      </c>
      <c r="C67" s="7">
        <v>11.0</v>
      </c>
      <c r="D67" s="5">
        <v>160.0</v>
      </c>
      <c r="E67" s="8" t="str">
        <f t="shared" si="1"/>
        <v> $ 1,760.00 </v>
      </c>
      <c r="F67" s="8" t="str">
        <f t="shared" si="2"/>
        <v> $ 123.20 </v>
      </c>
    </row>
    <row r="68" ht="14.25" customHeight="1">
      <c r="A68" s="5">
        <v>67.0</v>
      </c>
      <c r="B68" s="6" t="s">
        <v>73</v>
      </c>
      <c r="C68" s="7">
        <v>12.0</v>
      </c>
      <c r="D68" s="5">
        <v>156.0</v>
      </c>
      <c r="E68" s="8" t="str">
        <f t="shared" si="1"/>
        <v> $ 1,872.00 </v>
      </c>
      <c r="F68" s="8" t="str">
        <f t="shared" si="2"/>
        <v> $ 131.04 </v>
      </c>
    </row>
    <row r="69" ht="14.25" customHeight="1">
      <c r="A69" s="5">
        <v>68.0</v>
      </c>
      <c r="B69" s="6" t="s">
        <v>74</v>
      </c>
      <c r="C69" s="7">
        <v>15.5</v>
      </c>
      <c r="D69" s="5">
        <v>117.0</v>
      </c>
      <c r="E69" s="8" t="str">
        <f t="shared" si="1"/>
        <v> $ 1,813.50 </v>
      </c>
      <c r="F69" s="8" t="str">
        <f t="shared" si="2"/>
        <v> $ 126.95 </v>
      </c>
    </row>
    <row r="70" ht="14.25" customHeight="1">
      <c r="A70" s="5">
        <v>69.0</v>
      </c>
      <c r="B70" s="6" t="s">
        <v>75</v>
      </c>
      <c r="C70" s="7">
        <v>11.0</v>
      </c>
      <c r="D70" s="5">
        <v>76.0</v>
      </c>
      <c r="E70" s="8" t="str">
        <f t="shared" si="1"/>
        <v> $ 836.00 </v>
      </c>
      <c r="F70" s="8" t="str">
        <f t="shared" si="2"/>
        <v> $ 58.52 </v>
      </c>
    </row>
    <row r="71" ht="14.25" customHeight="1">
      <c r="A71" s="5">
        <v>70.0</v>
      </c>
      <c r="B71" s="6" t="s">
        <v>76</v>
      </c>
      <c r="C71" s="7">
        <v>12.0</v>
      </c>
      <c r="D71" s="5">
        <v>175.0</v>
      </c>
      <c r="E71" s="8" t="str">
        <f t="shared" si="1"/>
        <v> $ 2,100.00 </v>
      </c>
      <c r="F71" s="8" t="str">
        <f t="shared" si="2"/>
        <v> $ 147.00 </v>
      </c>
    </row>
    <row r="72" ht="14.25" customHeight="1">
      <c r="B72" s="6"/>
      <c r="C72" s="11" t="s">
        <v>77</v>
      </c>
      <c r="D72" s="5" t="str">
        <f t="shared" ref="D72:E72" si="3">SUM(D2:D71)</f>
        <v>9367</v>
      </c>
      <c r="E72" s="8" t="str">
        <f t="shared" si="3"/>
        <v> $ 142,794.50 </v>
      </c>
      <c r="F72" s="8" t="str">
        <f>SUM(TaxesOwed)</f>
        <v> $ 9,995.62 </v>
      </c>
    </row>
    <row r="73" ht="14.25" customHeight="1">
      <c r="B73" s="6"/>
      <c r="C73" s="11" t="s">
        <v>78</v>
      </c>
      <c r="D73" s="5" t="str">
        <f t="shared" ref="D73:E73" si="4">AVERAGE(D2:D71)</f>
        <v>133.8142857</v>
      </c>
      <c r="E73" s="8" t="str">
        <f t="shared" si="4"/>
        <v> $ 2,039.92 </v>
      </c>
      <c r="F73" s="8" t="str">
        <f>AVERAGE(TaxesOwed)</f>
        <v> $ 142.79 </v>
      </c>
    </row>
    <row r="74" ht="14.25" customHeight="1">
      <c r="B74" s="6"/>
      <c r="C74" s="11" t="s">
        <v>79</v>
      </c>
      <c r="D74" s="5" t="str">
        <f t="shared" ref="D74:F74" si="5">MAX(D2:D71)</f>
        <v>208</v>
      </c>
      <c r="E74" s="8" t="str">
        <f t="shared" si="5"/>
        <v> $ 6,368.00 </v>
      </c>
      <c r="F74" s="8" t="str">
        <f t="shared" si="5"/>
        <v> $ 445.76 </v>
      </c>
    </row>
    <row r="75" ht="14.25" customHeight="1">
      <c r="B75" s="6"/>
      <c r="C75" s="11" t="s">
        <v>80</v>
      </c>
      <c r="D75" s="5" t="str">
        <f t="shared" ref="D75:F75" si="6">MIN(D2:D71)</f>
        <v>69</v>
      </c>
      <c r="E75" s="8" t="str">
        <f t="shared" si="6"/>
        <v> $ 836.00 </v>
      </c>
      <c r="F75" s="8" t="str">
        <f t="shared" si="6"/>
        <v> $ 58.52 </v>
      </c>
    </row>
    <row r="76" ht="14.25" customHeight="1">
      <c r="B76" s="6"/>
      <c r="C76" s="11" t="s">
        <v>81</v>
      </c>
      <c r="D76" s="5" t="str">
        <f t="shared" ref="D76:F76" si="7">COUNT(D2:D71)</f>
        <v>70</v>
      </c>
      <c r="E76" s="8" t="str">
        <f t="shared" si="7"/>
        <v> $ 70.00 </v>
      </c>
      <c r="F76" s="8" t="str">
        <f t="shared" si="7"/>
        <v> $ 70.00 </v>
      </c>
    </row>
    <row r="77" ht="14.25" customHeight="1">
      <c r="B77" s="6"/>
      <c r="C77" s="7"/>
      <c r="E77" s="8"/>
      <c r="F77" s="8"/>
    </row>
    <row r="78" ht="14.25" customHeight="1">
      <c r="B78" s="6"/>
      <c r="C78" s="7"/>
      <c r="E78" s="8"/>
      <c r="F78" s="8"/>
    </row>
    <row r="79" ht="14.25" customHeight="1">
      <c r="B79" s="6"/>
      <c r="C79" s="7"/>
      <c r="E79" s="8"/>
      <c r="F79" s="8"/>
    </row>
    <row r="80" ht="14.25" customHeight="1">
      <c r="B80" s="6"/>
      <c r="C80" s="7"/>
      <c r="E80" s="8"/>
      <c r="F80" s="8"/>
    </row>
    <row r="81" ht="14.25" customHeight="1">
      <c r="B81" s="6"/>
      <c r="C81" s="7"/>
      <c r="E81" s="8"/>
      <c r="F81" s="8"/>
    </row>
    <row r="82" ht="14.25" customHeight="1">
      <c r="B82" s="6"/>
      <c r="C82" s="7"/>
      <c r="E82" s="8"/>
      <c r="F82" s="8"/>
    </row>
    <row r="83" ht="14.25" customHeight="1">
      <c r="B83" s="6"/>
      <c r="C83" s="7"/>
      <c r="E83" s="8"/>
      <c r="F83" s="8"/>
    </row>
    <row r="84" ht="14.25" customHeight="1">
      <c r="B84" s="6"/>
      <c r="C84" s="7"/>
      <c r="E84" s="8"/>
      <c r="F84" s="8"/>
    </row>
    <row r="85" ht="14.25" customHeight="1">
      <c r="B85" s="6"/>
      <c r="C85" s="7"/>
      <c r="E85" s="8"/>
      <c r="F85" s="8"/>
    </row>
    <row r="86" ht="14.25" customHeight="1">
      <c r="B86" s="6"/>
      <c r="C86" s="7"/>
      <c r="E86" s="8"/>
      <c r="F86" s="8"/>
    </row>
    <row r="87" ht="14.25" customHeight="1">
      <c r="B87" s="6"/>
      <c r="C87" s="7"/>
      <c r="E87" s="8"/>
      <c r="F87" s="8"/>
    </row>
    <row r="88" ht="14.25" customHeight="1">
      <c r="B88" s="6"/>
      <c r="C88" s="7"/>
      <c r="E88" s="8"/>
      <c r="F88" s="8"/>
    </row>
    <row r="89" ht="14.25" customHeight="1">
      <c r="B89" s="6"/>
      <c r="C89" s="7"/>
      <c r="E89" s="8"/>
      <c r="F89" s="8"/>
    </row>
    <row r="90" ht="14.25" customHeight="1">
      <c r="B90" s="6"/>
      <c r="C90" s="7"/>
      <c r="E90" s="8"/>
      <c r="F90" s="8"/>
    </row>
    <row r="91" ht="14.25" customHeight="1">
      <c r="B91" s="6"/>
      <c r="C91" s="7"/>
      <c r="E91" s="8"/>
      <c r="F91" s="8"/>
    </row>
    <row r="92" ht="14.25" customHeight="1">
      <c r="B92" s="6"/>
      <c r="C92" s="7"/>
      <c r="E92" s="8"/>
      <c r="F92" s="8"/>
    </row>
    <row r="93" ht="14.25" customHeight="1">
      <c r="B93" s="6"/>
      <c r="C93" s="7"/>
      <c r="E93" s="8"/>
      <c r="F93" s="8"/>
    </row>
    <row r="94" ht="14.25" customHeight="1">
      <c r="B94" s="6"/>
      <c r="C94" s="7"/>
      <c r="E94" s="8"/>
      <c r="F94" s="8"/>
    </row>
    <row r="95" ht="14.25" customHeight="1">
      <c r="B95" s="6"/>
      <c r="C95" s="7"/>
      <c r="E95" s="8"/>
      <c r="F95" s="8"/>
    </row>
    <row r="96" ht="14.25" customHeight="1">
      <c r="B96" s="6"/>
      <c r="C96" s="7"/>
      <c r="E96" s="8"/>
      <c r="F96" s="8"/>
    </row>
    <row r="97" ht="14.25" customHeight="1">
      <c r="B97" s="6"/>
      <c r="C97" s="7"/>
      <c r="E97" s="8"/>
      <c r="F97" s="8"/>
    </row>
    <row r="98" ht="14.25" customHeight="1">
      <c r="B98" s="6"/>
      <c r="C98" s="7"/>
      <c r="E98" s="8"/>
      <c r="F98" s="8"/>
    </row>
    <row r="99" ht="14.25" customHeight="1">
      <c r="B99" s="6"/>
      <c r="C99" s="7"/>
      <c r="E99" s="8"/>
      <c r="F99" s="8"/>
    </row>
    <row r="100" ht="14.25" customHeight="1">
      <c r="B100" s="6"/>
      <c r="C100" s="7"/>
      <c r="E100" s="8"/>
      <c r="F100" s="8"/>
    </row>
    <row r="101" ht="14.25" customHeight="1">
      <c r="B101" s="6"/>
      <c r="C101" s="7"/>
      <c r="E101" s="8"/>
      <c r="F101" s="8"/>
    </row>
    <row r="102" ht="14.25" customHeight="1">
      <c r="B102" s="6"/>
      <c r="C102" s="7"/>
      <c r="E102" s="8"/>
      <c r="F102" s="8"/>
    </row>
    <row r="103" ht="14.25" customHeight="1">
      <c r="B103" s="6"/>
      <c r="C103" s="7"/>
      <c r="E103" s="8"/>
      <c r="F103" s="8"/>
    </row>
    <row r="104" ht="14.25" customHeight="1">
      <c r="B104" s="6"/>
      <c r="C104" s="7"/>
      <c r="E104" s="8"/>
      <c r="F104" s="8"/>
    </row>
    <row r="105" ht="14.25" customHeight="1">
      <c r="B105" s="6"/>
      <c r="C105" s="7"/>
      <c r="E105" s="8"/>
      <c r="F105" s="8"/>
    </row>
    <row r="106" ht="14.25" customHeight="1">
      <c r="B106" s="6"/>
      <c r="C106" s="7"/>
      <c r="E106" s="8"/>
      <c r="F106" s="8"/>
    </row>
    <row r="107" ht="14.25" customHeight="1">
      <c r="B107" s="6"/>
      <c r="C107" s="7"/>
      <c r="E107" s="8"/>
      <c r="F107" s="8"/>
    </row>
    <row r="108" ht="14.25" customHeight="1">
      <c r="B108" s="6"/>
      <c r="C108" s="7"/>
      <c r="E108" s="8"/>
      <c r="F108" s="8"/>
    </row>
    <row r="109" ht="14.25" customHeight="1">
      <c r="B109" s="6"/>
      <c r="C109" s="7"/>
      <c r="E109" s="8"/>
      <c r="F109" s="8"/>
    </row>
    <row r="110" ht="14.25" customHeight="1">
      <c r="B110" s="6"/>
      <c r="C110" s="7"/>
      <c r="E110" s="8"/>
      <c r="F110" s="8"/>
    </row>
    <row r="111" ht="14.25" customHeight="1">
      <c r="B111" s="6"/>
      <c r="C111" s="7"/>
      <c r="E111" s="8"/>
      <c r="F111" s="8"/>
    </row>
    <row r="112" ht="14.25" customHeight="1">
      <c r="B112" s="6"/>
      <c r="C112" s="7"/>
      <c r="E112" s="8"/>
      <c r="F112" s="8"/>
    </row>
    <row r="113" ht="14.25" customHeight="1">
      <c r="B113" s="6"/>
      <c r="C113" s="7"/>
      <c r="E113" s="8"/>
      <c r="F113" s="8"/>
    </row>
    <row r="114" ht="14.25" customHeight="1">
      <c r="B114" s="6"/>
      <c r="C114" s="7"/>
      <c r="E114" s="8"/>
      <c r="F114" s="8"/>
    </row>
    <row r="115" ht="14.25" customHeight="1">
      <c r="B115" s="6"/>
      <c r="C115" s="7"/>
      <c r="E115" s="8"/>
      <c r="F115" s="8"/>
    </row>
    <row r="116" ht="14.25" customHeight="1">
      <c r="B116" s="6"/>
      <c r="C116" s="7"/>
      <c r="E116" s="8"/>
      <c r="F116" s="8"/>
    </row>
    <row r="117" ht="14.25" customHeight="1">
      <c r="B117" s="6"/>
      <c r="C117" s="7"/>
      <c r="E117" s="8"/>
      <c r="F117" s="8"/>
    </row>
    <row r="118" ht="14.25" customHeight="1">
      <c r="B118" s="6"/>
      <c r="C118" s="7"/>
      <c r="E118" s="8"/>
      <c r="F118" s="8"/>
    </row>
    <row r="119" ht="14.25" customHeight="1">
      <c r="B119" s="6"/>
      <c r="C119" s="7"/>
      <c r="E119" s="8"/>
      <c r="F119" s="8"/>
    </row>
    <row r="120" ht="14.25" customHeight="1">
      <c r="B120" s="6"/>
      <c r="C120" s="7"/>
      <c r="E120" s="8"/>
      <c r="F120" s="8"/>
    </row>
    <row r="121" ht="14.25" customHeight="1">
      <c r="B121" s="6"/>
      <c r="C121" s="7"/>
      <c r="E121" s="8"/>
      <c r="F121" s="8"/>
    </row>
    <row r="122" ht="14.25" customHeight="1">
      <c r="B122" s="6"/>
      <c r="C122" s="7"/>
      <c r="E122" s="8"/>
      <c r="F122" s="8"/>
    </row>
    <row r="123" ht="14.25" customHeight="1">
      <c r="B123" s="6"/>
      <c r="C123" s="7"/>
      <c r="E123" s="8"/>
      <c r="F123" s="8"/>
    </row>
    <row r="124" ht="14.25" customHeight="1">
      <c r="B124" s="6"/>
      <c r="C124" s="7"/>
      <c r="E124" s="8"/>
      <c r="F124" s="8"/>
    </row>
    <row r="125" ht="14.25" customHeight="1">
      <c r="B125" s="6"/>
      <c r="C125" s="7"/>
      <c r="E125" s="8"/>
      <c r="F125" s="8"/>
    </row>
    <row r="126" ht="14.25" customHeight="1">
      <c r="B126" s="6"/>
      <c r="C126" s="7"/>
      <c r="E126" s="8"/>
      <c r="F126" s="8"/>
    </row>
    <row r="127" ht="14.25" customHeight="1">
      <c r="B127" s="6"/>
      <c r="C127" s="7"/>
      <c r="E127" s="8"/>
      <c r="F127" s="8"/>
    </row>
    <row r="128" ht="14.25" customHeight="1">
      <c r="B128" s="6"/>
      <c r="C128" s="7"/>
      <c r="E128" s="8"/>
      <c r="F128" s="8"/>
    </row>
    <row r="129" ht="14.25" customHeight="1">
      <c r="B129" s="6"/>
      <c r="C129" s="7"/>
      <c r="E129" s="8"/>
      <c r="F129" s="8"/>
    </row>
    <row r="130" ht="14.25" customHeight="1">
      <c r="B130" s="6"/>
      <c r="C130" s="7"/>
      <c r="E130" s="8"/>
      <c r="F130" s="8"/>
    </row>
    <row r="131" ht="14.25" customHeight="1">
      <c r="B131" s="6"/>
      <c r="C131" s="7"/>
      <c r="E131" s="8"/>
      <c r="F131" s="8"/>
    </row>
    <row r="132" ht="14.25" customHeight="1">
      <c r="B132" s="6"/>
      <c r="C132" s="7"/>
      <c r="E132" s="8"/>
      <c r="F132" s="8"/>
    </row>
    <row r="133" ht="14.25" customHeight="1">
      <c r="B133" s="6"/>
      <c r="C133" s="7"/>
      <c r="E133" s="8"/>
      <c r="F133" s="8"/>
    </row>
    <row r="134" ht="14.25" customHeight="1">
      <c r="B134" s="6"/>
      <c r="C134" s="7"/>
      <c r="E134" s="8"/>
      <c r="F134" s="8"/>
    </row>
    <row r="135" ht="14.25" customHeight="1">
      <c r="B135" s="6"/>
      <c r="C135" s="7"/>
      <c r="E135" s="8"/>
      <c r="F135" s="8"/>
    </row>
    <row r="136" ht="14.25" customHeight="1">
      <c r="B136" s="6"/>
      <c r="C136" s="7"/>
      <c r="E136" s="8"/>
      <c r="F136" s="8"/>
    </row>
    <row r="137" ht="14.25" customHeight="1">
      <c r="B137" s="6"/>
      <c r="C137" s="7"/>
      <c r="E137" s="8"/>
      <c r="F137" s="8"/>
    </row>
    <row r="138" ht="14.25" customHeight="1">
      <c r="B138" s="6"/>
      <c r="C138" s="7"/>
      <c r="E138" s="8"/>
      <c r="F138" s="8"/>
    </row>
    <row r="139" ht="14.25" customHeight="1">
      <c r="B139" s="6"/>
      <c r="C139" s="7"/>
      <c r="E139" s="8"/>
      <c r="F139" s="8"/>
    </row>
    <row r="140" ht="14.25" customHeight="1">
      <c r="B140" s="6"/>
      <c r="C140" s="7"/>
      <c r="E140" s="8"/>
      <c r="F140" s="8"/>
    </row>
    <row r="141" ht="14.25" customHeight="1">
      <c r="B141" s="6"/>
      <c r="C141" s="7"/>
      <c r="E141" s="8"/>
      <c r="F141" s="8"/>
    </row>
    <row r="142" ht="14.25" customHeight="1">
      <c r="B142" s="6"/>
      <c r="C142" s="7"/>
      <c r="E142" s="8"/>
      <c r="F142" s="8"/>
    </row>
    <row r="143" ht="14.25" customHeight="1">
      <c r="B143" s="6"/>
      <c r="C143" s="7"/>
      <c r="E143" s="8"/>
      <c r="F143" s="8"/>
    </row>
    <row r="144" ht="14.25" customHeight="1">
      <c r="B144" s="6"/>
      <c r="C144" s="7"/>
      <c r="E144" s="8"/>
      <c r="F144" s="8"/>
    </row>
    <row r="145" ht="14.25" customHeight="1">
      <c r="B145" s="6"/>
      <c r="C145" s="7"/>
      <c r="E145" s="8"/>
      <c r="F145" s="8"/>
    </row>
    <row r="146" ht="14.25" customHeight="1">
      <c r="B146" s="6"/>
      <c r="C146" s="7"/>
      <c r="E146" s="8"/>
      <c r="F146" s="8"/>
    </row>
    <row r="147" ht="14.25" customHeight="1">
      <c r="B147" s="6"/>
      <c r="C147" s="7"/>
      <c r="E147" s="8"/>
      <c r="F147" s="8"/>
    </row>
    <row r="148" ht="14.25" customHeight="1">
      <c r="B148" s="6"/>
      <c r="C148" s="7"/>
      <c r="E148" s="8"/>
      <c r="F148" s="8"/>
    </row>
    <row r="149" ht="14.25" customHeight="1">
      <c r="B149" s="6"/>
      <c r="C149" s="7"/>
      <c r="E149" s="8"/>
      <c r="F149" s="8"/>
    </row>
    <row r="150" ht="14.25" customHeight="1">
      <c r="B150" s="6"/>
      <c r="C150" s="7"/>
      <c r="E150" s="8"/>
      <c r="F150" s="8"/>
    </row>
    <row r="151" ht="14.25" customHeight="1">
      <c r="B151" s="6"/>
      <c r="C151" s="7"/>
      <c r="E151" s="8"/>
      <c r="F151" s="8"/>
    </row>
    <row r="152" ht="14.25" customHeight="1">
      <c r="B152" s="6"/>
      <c r="C152" s="7"/>
      <c r="E152" s="8"/>
      <c r="F152" s="8"/>
    </row>
    <row r="153" ht="14.25" customHeight="1">
      <c r="B153" s="6"/>
      <c r="C153" s="7"/>
      <c r="E153" s="8"/>
      <c r="F153" s="8"/>
    </row>
    <row r="154" ht="14.25" customHeight="1">
      <c r="B154" s="6"/>
      <c r="C154" s="7"/>
      <c r="E154" s="8"/>
      <c r="F154" s="8"/>
    </row>
    <row r="155" ht="14.25" customHeight="1">
      <c r="B155" s="6"/>
      <c r="C155" s="7"/>
      <c r="E155" s="8"/>
      <c r="F155" s="8"/>
    </row>
    <row r="156" ht="14.25" customHeight="1">
      <c r="B156" s="6"/>
      <c r="C156" s="7"/>
      <c r="E156" s="8"/>
      <c r="F156" s="8"/>
    </row>
    <row r="157" ht="14.25" customHeight="1">
      <c r="B157" s="6"/>
      <c r="C157" s="7"/>
      <c r="E157" s="8"/>
      <c r="F157" s="8"/>
    </row>
    <row r="158" ht="14.25" customHeight="1">
      <c r="B158" s="6"/>
      <c r="C158" s="7"/>
      <c r="E158" s="8"/>
      <c r="F158" s="8"/>
    </row>
    <row r="159" ht="14.25" customHeight="1">
      <c r="B159" s="6"/>
      <c r="C159" s="7"/>
      <c r="E159" s="8"/>
      <c r="F159" s="8"/>
    </row>
    <row r="160" ht="14.25" customHeight="1">
      <c r="B160" s="6"/>
      <c r="C160" s="7"/>
      <c r="E160" s="8"/>
      <c r="F160" s="8"/>
    </row>
    <row r="161" ht="14.25" customHeight="1">
      <c r="B161" s="6"/>
      <c r="C161" s="7"/>
      <c r="E161" s="8"/>
      <c r="F161" s="8"/>
    </row>
    <row r="162" ht="14.25" customHeight="1">
      <c r="B162" s="6"/>
      <c r="C162" s="7"/>
      <c r="E162" s="8"/>
      <c r="F162" s="8"/>
    </row>
    <row r="163" ht="14.25" customHeight="1">
      <c r="B163" s="6"/>
      <c r="C163" s="7"/>
      <c r="E163" s="8"/>
      <c r="F163" s="8"/>
    </row>
    <row r="164" ht="14.25" customHeight="1">
      <c r="B164" s="6"/>
      <c r="C164" s="7"/>
      <c r="E164" s="8"/>
      <c r="F164" s="8"/>
    </row>
    <row r="165" ht="14.25" customHeight="1">
      <c r="B165" s="6"/>
      <c r="C165" s="7"/>
      <c r="E165" s="8"/>
      <c r="F165" s="8"/>
    </row>
    <row r="166" ht="14.25" customHeight="1">
      <c r="B166" s="6"/>
      <c r="C166" s="7"/>
      <c r="E166" s="8"/>
      <c r="F166" s="8"/>
    </row>
    <row r="167" ht="14.25" customHeight="1">
      <c r="B167" s="6"/>
      <c r="C167" s="7"/>
      <c r="E167" s="8"/>
      <c r="F167" s="8"/>
    </row>
    <row r="168" ht="14.25" customHeight="1">
      <c r="B168" s="6"/>
      <c r="C168" s="7"/>
      <c r="E168" s="8"/>
      <c r="F168" s="8"/>
    </row>
    <row r="169" ht="14.25" customHeight="1">
      <c r="B169" s="6"/>
      <c r="C169" s="7"/>
      <c r="E169" s="8"/>
      <c r="F169" s="8"/>
    </row>
    <row r="170" ht="14.25" customHeight="1">
      <c r="B170" s="6"/>
      <c r="C170" s="7"/>
      <c r="E170" s="8"/>
      <c r="F170" s="8"/>
    </row>
    <row r="171" ht="14.25" customHeight="1">
      <c r="B171" s="6"/>
      <c r="C171" s="7"/>
      <c r="E171" s="8"/>
      <c r="F171" s="8"/>
    </row>
    <row r="172" ht="14.25" customHeight="1">
      <c r="B172" s="6"/>
      <c r="C172" s="7"/>
      <c r="E172" s="8"/>
      <c r="F172" s="8"/>
    </row>
    <row r="173" ht="14.25" customHeight="1">
      <c r="B173" s="6"/>
      <c r="C173" s="7"/>
      <c r="E173" s="8"/>
      <c r="F173" s="8"/>
    </row>
    <row r="174" ht="14.25" customHeight="1">
      <c r="B174" s="6"/>
      <c r="C174" s="7"/>
      <c r="E174" s="8"/>
      <c r="F174" s="8"/>
    </row>
    <row r="175" ht="14.25" customHeight="1">
      <c r="B175" s="6"/>
      <c r="C175" s="7"/>
      <c r="E175" s="8"/>
      <c r="F175" s="8"/>
    </row>
    <row r="176" ht="14.25" customHeight="1">
      <c r="B176" s="6"/>
      <c r="C176" s="7"/>
      <c r="E176" s="8"/>
      <c r="F176" s="8"/>
    </row>
    <row r="177" ht="14.25" customHeight="1">
      <c r="B177" s="6"/>
      <c r="C177" s="7"/>
      <c r="E177" s="8"/>
      <c r="F177" s="8"/>
    </row>
    <row r="178" ht="14.25" customHeight="1">
      <c r="B178" s="6"/>
      <c r="C178" s="7"/>
      <c r="E178" s="8"/>
      <c r="F178" s="8"/>
    </row>
    <row r="179" ht="14.25" customHeight="1">
      <c r="B179" s="6"/>
      <c r="C179" s="7"/>
      <c r="E179" s="8"/>
      <c r="F179" s="8"/>
    </row>
    <row r="180" ht="14.25" customHeight="1">
      <c r="B180" s="6"/>
      <c r="C180" s="7"/>
      <c r="E180" s="8"/>
      <c r="F180" s="8"/>
    </row>
    <row r="181" ht="14.25" customHeight="1">
      <c r="B181" s="6"/>
      <c r="C181" s="7"/>
      <c r="E181" s="8"/>
      <c r="F181" s="8"/>
    </row>
    <row r="182" ht="14.25" customHeight="1">
      <c r="B182" s="6"/>
      <c r="C182" s="7"/>
      <c r="E182" s="8"/>
      <c r="F182" s="8"/>
    </row>
    <row r="183" ht="14.25" customHeight="1">
      <c r="B183" s="6"/>
      <c r="C183" s="7"/>
      <c r="E183" s="8"/>
      <c r="F183" s="8"/>
    </row>
    <row r="184" ht="14.25" customHeight="1">
      <c r="B184" s="6"/>
      <c r="C184" s="7"/>
      <c r="E184" s="8"/>
      <c r="F184" s="8"/>
    </row>
    <row r="185" ht="14.25" customHeight="1">
      <c r="B185" s="6"/>
      <c r="C185" s="7"/>
      <c r="E185" s="8"/>
      <c r="F185" s="8"/>
    </row>
    <row r="186" ht="14.25" customHeight="1">
      <c r="B186" s="6"/>
      <c r="C186" s="7"/>
      <c r="E186" s="8"/>
      <c r="F186" s="8"/>
    </row>
    <row r="187" ht="14.25" customHeight="1">
      <c r="B187" s="6"/>
      <c r="C187" s="7"/>
      <c r="E187" s="8"/>
      <c r="F187" s="8"/>
    </row>
    <row r="188" ht="14.25" customHeight="1">
      <c r="B188" s="6"/>
      <c r="C188" s="7"/>
      <c r="E188" s="8"/>
      <c r="F188" s="8"/>
    </row>
    <row r="189" ht="14.25" customHeight="1">
      <c r="B189" s="6"/>
      <c r="C189" s="7"/>
      <c r="E189" s="8"/>
      <c r="F189" s="8"/>
    </row>
    <row r="190" ht="14.25" customHeight="1">
      <c r="B190" s="6"/>
      <c r="C190" s="7"/>
      <c r="E190" s="8"/>
      <c r="F190" s="8"/>
    </row>
    <row r="191" ht="14.25" customHeight="1">
      <c r="B191" s="6"/>
      <c r="C191" s="7"/>
      <c r="E191" s="8"/>
      <c r="F191" s="8"/>
    </row>
    <row r="192" ht="14.25" customHeight="1">
      <c r="B192" s="6"/>
      <c r="C192" s="7"/>
      <c r="E192" s="8"/>
      <c r="F192" s="8"/>
    </row>
    <row r="193" ht="14.25" customHeight="1">
      <c r="B193" s="6"/>
      <c r="C193" s="7"/>
      <c r="E193" s="8"/>
      <c r="F193" s="8"/>
    </row>
    <row r="194" ht="14.25" customHeight="1">
      <c r="B194" s="6"/>
      <c r="C194" s="7"/>
      <c r="E194" s="8"/>
      <c r="F194" s="8"/>
    </row>
    <row r="195" ht="14.25" customHeight="1">
      <c r="B195" s="6"/>
      <c r="C195" s="7"/>
      <c r="E195" s="8"/>
      <c r="F195" s="8"/>
    </row>
    <row r="196" ht="14.25" customHeight="1">
      <c r="B196" s="6"/>
      <c r="C196" s="7"/>
      <c r="E196" s="8"/>
      <c r="F196" s="8"/>
    </row>
    <row r="197" ht="14.25" customHeight="1">
      <c r="B197" s="6"/>
      <c r="C197" s="7"/>
      <c r="E197" s="8"/>
      <c r="F197" s="8"/>
    </row>
    <row r="198" ht="14.25" customHeight="1">
      <c r="B198" s="6"/>
      <c r="C198" s="7"/>
      <c r="E198" s="8"/>
      <c r="F198" s="8"/>
    </row>
    <row r="199" ht="14.25" customHeight="1">
      <c r="B199" s="6"/>
      <c r="C199" s="7"/>
      <c r="E199" s="8"/>
      <c r="F199" s="8"/>
    </row>
    <row r="200" ht="14.25" customHeight="1">
      <c r="B200" s="6"/>
      <c r="C200" s="7"/>
      <c r="E200" s="8"/>
      <c r="F200" s="8"/>
    </row>
    <row r="201" ht="14.25" customHeight="1">
      <c r="B201" s="6"/>
      <c r="C201" s="7"/>
      <c r="E201" s="8"/>
      <c r="F201" s="8"/>
    </row>
    <row r="202" ht="14.25" customHeight="1">
      <c r="B202" s="6"/>
      <c r="C202" s="7"/>
      <c r="E202" s="8"/>
      <c r="F202" s="8"/>
    </row>
    <row r="203" ht="14.25" customHeight="1">
      <c r="B203" s="6"/>
      <c r="C203" s="7"/>
      <c r="E203" s="8"/>
      <c r="F203" s="8"/>
    </row>
    <row r="204" ht="14.25" customHeight="1">
      <c r="B204" s="6"/>
      <c r="C204" s="7"/>
      <c r="E204" s="8"/>
      <c r="F204" s="8"/>
    </row>
    <row r="205" ht="14.25" customHeight="1">
      <c r="B205" s="6"/>
      <c r="C205" s="7"/>
      <c r="E205" s="8"/>
      <c r="F205" s="8"/>
    </row>
    <row r="206" ht="14.25" customHeight="1">
      <c r="B206" s="6"/>
      <c r="C206" s="7"/>
      <c r="E206" s="8"/>
      <c r="F206" s="8"/>
    </row>
    <row r="207" ht="14.25" customHeight="1">
      <c r="B207" s="6"/>
      <c r="C207" s="7"/>
      <c r="E207" s="8"/>
      <c r="F207" s="8"/>
    </row>
    <row r="208" ht="14.25" customHeight="1">
      <c r="B208" s="6"/>
      <c r="C208" s="7"/>
      <c r="E208" s="8"/>
      <c r="F208" s="8"/>
    </row>
    <row r="209" ht="14.25" customHeight="1">
      <c r="B209" s="6"/>
      <c r="C209" s="7"/>
      <c r="E209" s="8"/>
      <c r="F209" s="8"/>
    </row>
    <row r="210" ht="14.25" customHeight="1">
      <c r="B210" s="6"/>
      <c r="C210" s="7"/>
      <c r="E210" s="8"/>
      <c r="F210" s="8"/>
    </row>
    <row r="211" ht="14.25" customHeight="1">
      <c r="B211" s="6"/>
      <c r="C211" s="7"/>
      <c r="E211" s="8"/>
      <c r="F211" s="8"/>
    </row>
    <row r="212" ht="14.25" customHeight="1">
      <c r="B212" s="6"/>
      <c r="C212" s="7"/>
      <c r="E212" s="8"/>
      <c r="F212" s="8"/>
    </row>
    <row r="213" ht="14.25" customHeight="1">
      <c r="B213" s="6"/>
      <c r="C213" s="7"/>
      <c r="E213" s="8"/>
      <c r="F213" s="8"/>
    </row>
    <row r="214" ht="14.25" customHeight="1">
      <c r="B214" s="6"/>
      <c r="C214" s="7"/>
      <c r="E214" s="8"/>
      <c r="F214" s="8"/>
    </row>
    <row r="215" ht="14.25" customHeight="1">
      <c r="B215" s="6"/>
      <c r="C215" s="7"/>
      <c r="E215" s="8"/>
      <c r="F215" s="8"/>
    </row>
    <row r="216" ht="14.25" customHeight="1">
      <c r="B216" s="6"/>
      <c r="C216" s="7"/>
      <c r="E216" s="8"/>
      <c r="F216" s="8"/>
    </row>
    <row r="217" ht="14.25" customHeight="1">
      <c r="B217" s="6"/>
      <c r="C217" s="7"/>
      <c r="E217" s="8"/>
      <c r="F217" s="8"/>
    </row>
    <row r="218" ht="14.25" customHeight="1">
      <c r="B218" s="6"/>
      <c r="C218" s="7"/>
      <c r="E218" s="8"/>
      <c r="F218" s="8"/>
    </row>
    <row r="219" ht="14.25" customHeight="1">
      <c r="B219" s="6"/>
      <c r="C219" s="7"/>
      <c r="E219" s="8"/>
      <c r="F219" s="8"/>
    </row>
    <row r="220" ht="14.25" customHeight="1">
      <c r="B220" s="6"/>
      <c r="C220" s="7"/>
      <c r="E220" s="8"/>
      <c r="F220" s="8"/>
    </row>
    <row r="221" ht="14.25" customHeight="1">
      <c r="B221" s="6"/>
      <c r="C221" s="7"/>
      <c r="E221" s="8"/>
      <c r="F221" s="8"/>
    </row>
    <row r="222" ht="14.25" customHeight="1">
      <c r="B222" s="6"/>
      <c r="C222" s="7"/>
      <c r="E222" s="8"/>
      <c r="F222" s="8"/>
    </row>
    <row r="223" ht="14.25" customHeight="1">
      <c r="B223" s="6"/>
      <c r="C223" s="7"/>
      <c r="E223" s="8"/>
      <c r="F223" s="8"/>
    </row>
    <row r="224" ht="14.25" customHeight="1">
      <c r="B224" s="6"/>
      <c r="C224" s="7"/>
      <c r="E224" s="8"/>
      <c r="F224" s="8"/>
    </row>
    <row r="225" ht="14.25" customHeight="1">
      <c r="B225" s="6"/>
      <c r="C225" s="7"/>
      <c r="E225" s="8"/>
      <c r="F225" s="8"/>
    </row>
    <row r="226" ht="14.25" customHeight="1">
      <c r="B226" s="6"/>
      <c r="C226" s="7"/>
      <c r="E226" s="8"/>
      <c r="F226" s="8"/>
    </row>
    <row r="227" ht="14.25" customHeight="1">
      <c r="B227" s="6"/>
      <c r="C227" s="7"/>
      <c r="E227" s="8"/>
      <c r="F227" s="8"/>
    </row>
    <row r="228" ht="14.25" customHeight="1">
      <c r="B228" s="6"/>
      <c r="C228" s="7"/>
      <c r="E228" s="8"/>
      <c r="F228" s="8"/>
    </row>
    <row r="229" ht="14.25" customHeight="1">
      <c r="B229" s="6"/>
      <c r="C229" s="7"/>
      <c r="E229" s="8"/>
      <c r="F229" s="8"/>
    </row>
    <row r="230" ht="14.25" customHeight="1">
      <c r="B230" s="6"/>
      <c r="C230" s="7"/>
      <c r="E230" s="8"/>
      <c r="F230" s="8"/>
    </row>
    <row r="231" ht="14.25" customHeight="1">
      <c r="B231" s="6"/>
      <c r="C231" s="7"/>
      <c r="E231" s="8"/>
      <c r="F231" s="8"/>
    </row>
    <row r="232" ht="14.25" customHeight="1">
      <c r="B232" s="6"/>
      <c r="C232" s="7"/>
      <c r="E232" s="8"/>
      <c r="F232" s="8"/>
    </row>
    <row r="233" ht="14.25" customHeight="1">
      <c r="B233" s="6"/>
      <c r="C233" s="7"/>
      <c r="E233" s="8"/>
      <c r="F233" s="8"/>
    </row>
    <row r="234" ht="14.25" customHeight="1">
      <c r="B234" s="6"/>
      <c r="C234" s="7"/>
      <c r="E234" s="8"/>
      <c r="F234" s="8"/>
    </row>
    <row r="235" ht="14.25" customHeight="1">
      <c r="B235" s="6"/>
      <c r="C235" s="7"/>
      <c r="E235" s="8"/>
      <c r="F235" s="8"/>
    </row>
    <row r="236" ht="14.25" customHeight="1">
      <c r="B236" s="6"/>
      <c r="C236" s="7"/>
      <c r="E236" s="8"/>
      <c r="F236" s="8"/>
    </row>
    <row r="237" ht="14.25" customHeight="1">
      <c r="B237" s="6"/>
      <c r="C237" s="7"/>
      <c r="E237" s="8"/>
      <c r="F237" s="8"/>
    </row>
    <row r="238" ht="14.25" customHeight="1">
      <c r="B238" s="6"/>
      <c r="C238" s="7"/>
      <c r="E238" s="8"/>
      <c r="F238" s="8"/>
    </row>
    <row r="239" ht="14.25" customHeight="1">
      <c r="B239" s="6"/>
      <c r="C239" s="7"/>
      <c r="E239" s="8"/>
      <c r="F239" s="8"/>
    </row>
    <row r="240" ht="14.25" customHeight="1">
      <c r="B240" s="6"/>
      <c r="C240" s="7"/>
      <c r="E240" s="8"/>
      <c r="F240" s="8"/>
    </row>
    <row r="241" ht="14.25" customHeight="1">
      <c r="B241" s="6"/>
      <c r="C241" s="7"/>
      <c r="E241" s="8"/>
      <c r="F241" s="8"/>
    </row>
    <row r="242" ht="14.25" customHeight="1">
      <c r="B242" s="6"/>
      <c r="C242" s="7"/>
      <c r="E242" s="8"/>
      <c r="F242" s="8"/>
    </row>
    <row r="243" ht="14.25" customHeight="1">
      <c r="B243" s="6"/>
      <c r="C243" s="7"/>
      <c r="E243" s="8"/>
      <c r="F243" s="8"/>
    </row>
    <row r="244" ht="14.25" customHeight="1">
      <c r="B244" s="6"/>
      <c r="C244" s="7"/>
      <c r="E244" s="8"/>
      <c r="F244" s="8"/>
    </row>
    <row r="245" ht="14.25" customHeight="1">
      <c r="B245" s="6"/>
      <c r="C245" s="7"/>
      <c r="E245" s="8"/>
      <c r="F245" s="8"/>
    </row>
    <row r="246" ht="14.25" customHeight="1">
      <c r="B246" s="6"/>
      <c r="C246" s="7"/>
      <c r="E246" s="8"/>
      <c r="F246" s="8"/>
    </row>
    <row r="247" ht="14.25" customHeight="1">
      <c r="B247" s="6"/>
      <c r="C247" s="7"/>
      <c r="E247" s="8"/>
      <c r="F247" s="8"/>
    </row>
    <row r="248" ht="14.25" customHeight="1">
      <c r="B248" s="6"/>
      <c r="C248" s="7"/>
      <c r="E248" s="8"/>
      <c r="F248" s="8"/>
    </row>
    <row r="249" ht="14.25" customHeight="1">
      <c r="B249" s="6"/>
      <c r="C249" s="7"/>
      <c r="E249" s="8"/>
      <c r="F249" s="8"/>
    </row>
    <row r="250" ht="14.25" customHeight="1">
      <c r="B250" s="6"/>
      <c r="C250" s="7"/>
      <c r="E250" s="8"/>
      <c r="F250" s="8"/>
    </row>
    <row r="251" ht="14.25" customHeight="1">
      <c r="B251" s="6"/>
      <c r="C251" s="7"/>
      <c r="E251" s="8"/>
      <c r="F251" s="8"/>
    </row>
    <row r="252" ht="14.25" customHeight="1">
      <c r="B252" s="6"/>
      <c r="C252" s="7"/>
      <c r="E252" s="8"/>
      <c r="F252" s="8"/>
    </row>
    <row r="253" ht="14.25" customHeight="1">
      <c r="B253" s="6"/>
      <c r="C253" s="7"/>
      <c r="E253" s="8"/>
      <c r="F253" s="8"/>
    </row>
    <row r="254" ht="14.25" customHeight="1">
      <c r="B254" s="6"/>
      <c r="C254" s="7"/>
      <c r="E254" s="8"/>
      <c r="F254" s="8"/>
    </row>
    <row r="255" ht="14.25" customHeight="1">
      <c r="B255" s="6"/>
      <c r="C255" s="7"/>
      <c r="E255" s="8"/>
      <c r="F255" s="8"/>
    </row>
    <row r="256" ht="14.25" customHeight="1">
      <c r="B256" s="6"/>
      <c r="C256" s="7"/>
      <c r="E256" s="8"/>
      <c r="F256" s="8"/>
    </row>
    <row r="257" ht="14.25" customHeight="1">
      <c r="B257" s="6"/>
      <c r="C257" s="7"/>
      <c r="E257" s="8"/>
      <c r="F257" s="8"/>
    </row>
    <row r="258" ht="14.25" customHeight="1">
      <c r="B258" s="6"/>
      <c r="C258" s="7"/>
      <c r="E258" s="8"/>
      <c r="F258" s="8"/>
    </row>
    <row r="259" ht="14.25" customHeight="1">
      <c r="B259" s="6"/>
      <c r="C259" s="7"/>
      <c r="E259" s="8"/>
      <c r="F259" s="8"/>
    </row>
    <row r="260" ht="14.25" customHeight="1">
      <c r="B260" s="6"/>
      <c r="C260" s="7"/>
      <c r="E260" s="8"/>
      <c r="F260" s="8"/>
    </row>
    <row r="261" ht="14.25" customHeight="1">
      <c r="B261" s="6"/>
      <c r="C261" s="7"/>
      <c r="E261" s="8"/>
      <c r="F261" s="8"/>
    </row>
    <row r="262" ht="14.25" customHeight="1">
      <c r="B262" s="6"/>
      <c r="C262" s="7"/>
      <c r="E262" s="8"/>
      <c r="F262" s="8"/>
    </row>
    <row r="263" ht="14.25" customHeight="1">
      <c r="B263" s="6"/>
      <c r="C263" s="7"/>
      <c r="E263" s="8"/>
      <c r="F263" s="8"/>
    </row>
    <row r="264" ht="14.25" customHeight="1">
      <c r="B264" s="6"/>
      <c r="C264" s="7"/>
      <c r="E264" s="8"/>
      <c r="F264" s="8"/>
    </row>
    <row r="265" ht="14.25" customHeight="1">
      <c r="B265" s="6"/>
      <c r="C265" s="7"/>
      <c r="E265" s="8"/>
      <c r="F265" s="8"/>
    </row>
    <row r="266" ht="14.25" customHeight="1">
      <c r="B266" s="6"/>
      <c r="C266" s="7"/>
      <c r="E266" s="8"/>
      <c r="F266" s="8"/>
    </row>
    <row r="267" ht="14.25" customHeight="1">
      <c r="B267" s="6"/>
      <c r="C267" s="7"/>
      <c r="E267" s="8"/>
      <c r="F267" s="8"/>
    </row>
    <row r="268" ht="14.25" customHeight="1">
      <c r="B268" s="6"/>
      <c r="C268" s="7"/>
      <c r="E268" s="8"/>
      <c r="F268" s="8"/>
    </row>
    <row r="269" ht="14.25" customHeight="1">
      <c r="B269" s="6"/>
      <c r="C269" s="7"/>
      <c r="E269" s="8"/>
      <c r="F269" s="8"/>
    </row>
    <row r="270" ht="14.25" customHeight="1">
      <c r="B270" s="6"/>
      <c r="C270" s="7"/>
      <c r="E270" s="8"/>
      <c r="F270" s="8"/>
    </row>
    <row r="271" ht="14.25" customHeight="1">
      <c r="B271" s="6"/>
      <c r="C271" s="7"/>
      <c r="E271" s="8"/>
      <c r="F271" s="8"/>
    </row>
    <row r="272" ht="14.25" customHeight="1">
      <c r="B272" s="6"/>
      <c r="C272" s="7"/>
      <c r="E272" s="8"/>
      <c r="F272" s="8"/>
    </row>
    <row r="273" ht="14.25" customHeight="1">
      <c r="B273" s="6"/>
      <c r="C273" s="7"/>
      <c r="E273" s="8"/>
      <c r="F273" s="8"/>
    </row>
    <row r="274" ht="14.25" customHeight="1">
      <c r="B274" s="6"/>
      <c r="C274" s="7"/>
      <c r="E274" s="8"/>
      <c r="F274" s="8"/>
    </row>
    <row r="275" ht="14.25" customHeight="1">
      <c r="B275" s="6"/>
      <c r="C275" s="7"/>
      <c r="E275" s="8"/>
      <c r="F275" s="8"/>
    </row>
    <row r="276" ht="14.25" customHeight="1">
      <c r="B276" s="6"/>
      <c r="C276" s="7"/>
      <c r="E276" s="8"/>
      <c r="F276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2022-07-03T02:12:21Z</dcterms:created>
  <dc:creator>Windows User</dc:creator>
</cp:coreProperties>
</file>